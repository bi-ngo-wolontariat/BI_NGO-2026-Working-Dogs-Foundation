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ing_dogs_foundation-dane_20" sheetId="1" r:id="rId5"/>
  </sheets>
  <definedNames/>
  <calcPr/>
</workbook>
</file>

<file path=xl/sharedStrings.xml><?xml version="1.0" encoding="utf-8"?>
<sst xmlns="http://schemas.openxmlformats.org/spreadsheetml/2006/main" count="21" uniqueCount="20">
  <si>
    <t>Rok</t>
  </si>
  <si>
    <t>Liczba zgłoszeń do projektu #Adopsiaki</t>
  </si>
  <si>
    <t>Rodziny objęte wsparciem w projekcie #Adopsiaki</t>
  </si>
  <si>
    <t>Lokalizacje, w których trenerzy udzielali wsparcia w projekcie #Adopsiaki (kumulatywnie od początku działania Fundacji)</t>
  </si>
  <si>
    <t>Liczba dzieci w szkołach i przedszkolach, które wzięły udział w warsztatach edukacyjnych</t>
  </si>
  <si>
    <t>Liczba placówek objętych warsztatami</t>
  </si>
  <si>
    <t>Lokalizacje placówek, w których odbyły się warsztaty</t>
  </si>
  <si>
    <t>Liczba firm, w których odbyły się warsztaty/webinary Dog Friendly Company</t>
  </si>
  <si>
    <t>Lokalizacje warsztatów/eventów dla firm</t>
  </si>
  <si>
    <t>Liczba wolontariuszy w Fundacji (stan na koniec roku)</t>
  </si>
  <si>
    <t>Obserwujący LinkedIn (stan na koniec roku)</t>
  </si>
  <si>
    <t>Obserwujący Facebook (stan na koniec roku)</t>
  </si>
  <si>
    <t>Obserwujący Instagram (stan na koniec roku)</t>
  </si>
  <si>
    <t>Liczba regularnych darczyńców (stan na koniec roku)</t>
  </si>
  <si>
    <t>Warszawa, Łódź, Brzeziny, Wrocław</t>
  </si>
  <si>
    <t>Wrocław, Warszawa, Łódź, Brzeziny, Gdańsk, Myszków, Gliwice, Bytom, Tarnowskie Góry, Opole, Jelenia Góra, Pabianice, Poddębice</t>
  </si>
  <si>
    <t>od początku działania Fundacji: wojewodztwa łodzkie, mazowieckie, śląskie dolnośląskie, lubelskie, zachodniopomorskie, warmińsko mazurskie, wielkopolskie,opolskie</t>
  </si>
  <si>
    <t>od początku działania Fundacji: Łódź, Warszawa, Wrocław Opole, Szczecin, Gdańsk, Lublin, Bydgoszcz, Kielce</t>
  </si>
  <si>
    <t>do 02.2026 włącznie</t>
  </si>
  <si>
    <t>Wrocław, Warszawa, Łódź, Brzeziny, Gdańsk, Myszków, Gliwice, Bytom, Tarnowskie Góry, Opole, Jelenia Góra, Pabianice, Poddębice, Kraków, Tarnów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</si>
</sst>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2023.0</v>
      </c>
      <c r="B2" s="3">
        <v>59.0</v>
      </c>
      <c r="C2" s="3">
        <v>11.0</v>
      </c>
      <c r="D2" s="4" t="s">
        <v>14</v>
      </c>
      <c r="E2" s="3">
        <v>2726.0</v>
      </c>
      <c r="F2" s="3">
        <v>44.0</v>
      </c>
      <c r="G2" s="4"/>
      <c r="H2" s="5">
        <v>5.0</v>
      </c>
      <c r="I2" s="4"/>
      <c r="J2" s="3">
        <v>7.0</v>
      </c>
      <c r="K2" s="5">
        <v>1214.0</v>
      </c>
      <c r="L2" s="5">
        <v>1242.0</v>
      </c>
      <c r="M2" s="5">
        <v>1279.0</v>
      </c>
      <c r="N2" s="5">
        <v>18.0</v>
      </c>
    </row>
    <row r="3">
      <c r="A3" s="2">
        <v>2024.0</v>
      </c>
      <c r="B3" s="3">
        <v>77.0</v>
      </c>
      <c r="C3" s="3">
        <v>45.0</v>
      </c>
      <c r="D3" s="4" t="s">
        <v>14</v>
      </c>
      <c r="E3" s="3">
        <v>2835.0</v>
      </c>
      <c r="F3" s="3">
        <v>35.0</v>
      </c>
      <c r="G3" s="4"/>
      <c r="H3" s="5">
        <v>9.0</v>
      </c>
      <c r="I3" s="4"/>
      <c r="J3" s="3">
        <v>12.0</v>
      </c>
      <c r="K3" s="5">
        <v>1834.0</v>
      </c>
      <c r="L3" s="5">
        <v>1537.0</v>
      </c>
      <c r="M3" s="5">
        <v>1630.0</v>
      </c>
      <c r="N3" s="5">
        <v>22.0</v>
      </c>
    </row>
    <row r="4">
      <c r="A4" s="2">
        <v>2025.0</v>
      </c>
      <c r="B4" s="3">
        <v>126.0</v>
      </c>
      <c r="C4" s="3">
        <v>63.0</v>
      </c>
      <c r="D4" s="4" t="s">
        <v>15</v>
      </c>
      <c r="E4" s="3">
        <v>4846.0</v>
      </c>
      <c r="F4" s="3">
        <v>62.0</v>
      </c>
      <c r="G4" s="4" t="s">
        <v>16</v>
      </c>
      <c r="H4" s="5">
        <v>14.0</v>
      </c>
      <c r="I4" s="4" t="s">
        <v>17</v>
      </c>
      <c r="J4" s="3">
        <v>16.0</v>
      </c>
      <c r="K4" s="5">
        <v>2140.0</v>
      </c>
      <c r="L4" s="5">
        <v>1976.0</v>
      </c>
      <c r="M4" s="5">
        <v>1891.0</v>
      </c>
      <c r="N4" s="5">
        <v>31.0</v>
      </c>
    </row>
    <row r="5">
      <c r="A5" s="6" t="s">
        <v>18</v>
      </c>
      <c r="B5" s="3">
        <v>30.0</v>
      </c>
      <c r="C5" s="3">
        <v>3.0</v>
      </c>
      <c r="D5" s="4" t="s">
        <v>19</v>
      </c>
      <c r="E5" s="3">
        <f>238+147</f>
        <v>385</v>
      </c>
      <c r="F5" s="3">
        <v>5.0</v>
      </c>
      <c r="G5" s="4"/>
      <c r="H5" s="5">
        <v>2.0</v>
      </c>
      <c r="I5" s="4"/>
      <c r="J5" s="4"/>
      <c r="K5" s="4"/>
      <c r="L5" s="4"/>
      <c r="M5" s="4"/>
      <c r="N5" s="4"/>
    </row>
  </sheetData>
  <drawing r:id="rId1"/>
</worksheet>
</file>