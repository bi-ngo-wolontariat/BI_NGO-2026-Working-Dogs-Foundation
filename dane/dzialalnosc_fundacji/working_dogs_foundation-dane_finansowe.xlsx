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rkusz1" sheetId="1" r:id="rId5"/>
  </sheets>
  <definedNames/>
  <calcPr/>
</workbook>
</file>

<file path=xl/sharedStrings.xml><?xml version="1.0" encoding="utf-8"?>
<sst xmlns="http://schemas.openxmlformats.org/spreadsheetml/2006/main" count="30" uniqueCount="24">
  <si>
    <t>PRZYCHODY</t>
  </si>
  <si>
    <t>Kategoria główna</t>
  </si>
  <si>
    <t>Kategoria szczegółowa</t>
  </si>
  <si>
    <t>Przychody z nieodpłatnej działalności pożytku publicznego</t>
  </si>
  <si>
    <t>Granty</t>
  </si>
  <si>
    <t>Darczyńcy indywidualni</t>
  </si>
  <si>
    <t>Darczyńcy biznesowi</t>
  </si>
  <si>
    <t>Zbiórki publiczne</t>
  </si>
  <si>
    <t>1,5% podatku (OPP)</t>
  </si>
  <si>
    <t>Pozostałe darowizny</t>
  </si>
  <si>
    <t>Przychody z odpłatnej działalności pożytku publicznego</t>
  </si>
  <si>
    <t>Przychody z działalności gospodarczej</t>
  </si>
  <si>
    <t>Pozostałe przychody operacyjne</t>
  </si>
  <si>
    <t>Suma</t>
  </si>
  <si>
    <t>KOSZTY</t>
  </si>
  <si>
    <t>Kategoria</t>
  </si>
  <si>
    <t>Koszty z nieodpłatnej działalności pożytku publicznego</t>
  </si>
  <si>
    <t>Koszty z odpłatnej działalności pożytku publicznego</t>
  </si>
  <si>
    <t>Koszty z działalności gospodarczej</t>
  </si>
  <si>
    <t>Koszty ogólnego zarządu</t>
  </si>
  <si>
    <t>Pozostałe koszty operacyjne</t>
  </si>
  <si>
    <t>Koszty finansowe</t>
  </si>
  <si>
    <t>WYNIK FINANSOWY</t>
  </si>
  <si>
    <t>Róznica między przychodami a kosztami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</si>
</sst>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&quot;zł&quot;"/>
  </numFmts>
  <fonts count="5">
    <font>
      <sz val="10.0"/>
      <color rgb="FF000000"/>
      <name val="Arial"/>
      <scheme val="minor"/>
    </font>
    <font>
      <sz val="12.0"/>
      <color theme="1"/>
      <name val="Arial"/>
    </font>
    <font>
      <sz val="12.0"/>
      <color theme="1"/>
      <name val="Aptos Narrow"/>
    </font>
    <font>
      <b/>
      <sz val="12.0"/>
      <color theme="1"/>
      <name val="Aptos Narrow"/>
    </font>
    <font>
      <b/>
      <sz val="12.0"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Font="1"/>
    <xf borderId="0" fillId="0" fontId="4" numFmtId="0" xfId="0" applyFont="1"/>
    <xf borderId="0" fillId="0" fontId="4" numFmtId="0" xfId="0" applyAlignment="1" applyFont="1">
      <alignment horizontal="right"/>
    </xf>
    <xf borderId="0" fillId="0" fontId="1" numFmtId="0" xfId="0" applyFont="1"/>
    <xf borderId="0" fillId="0" fontId="2" numFmtId="2" xfId="0" applyAlignment="1" applyFont="1" applyNumberFormat="1">
      <alignment horizontal="right"/>
    </xf>
    <xf borderId="0" fillId="0" fontId="2" numFmtId="0" xfId="0" applyFont="1"/>
    <xf borderId="0" fillId="0" fontId="1" numFmtId="164" xfId="0" applyFont="1" applyNumberFormat="1"/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2" numFmtId="2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</row>
    <row r="2">
      <c r="A2" s="2"/>
      <c r="B2" s="2"/>
      <c r="C2" s="2"/>
      <c r="D2" s="2"/>
      <c r="E2" s="2"/>
    </row>
    <row r="3">
      <c r="A3" s="3" t="s">
        <v>1</v>
      </c>
      <c r="B3" s="4" t="s">
        <v>2</v>
      </c>
      <c r="C3" s="5">
        <v>2025.0</v>
      </c>
      <c r="D3" s="5">
        <v>2024.0</v>
      </c>
      <c r="E3" s="5">
        <v>2023.0</v>
      </c>
    </row>
    <row r="4">
      <c r="A4" s="2" t="s">
        <v>3</v>
      </c>
      <c r="B4" s="6" t="s">
        <v>4</v>
      </c>
      <c r="C4" s="7">
        <v>21444.0</v>
      </c>
      <c r="D4" s="7">
        <v>9901.04</v>
      </c>
      <c r="E4" s="7">
        <v>0.0</v>
      </c>
    </row>
    <row r="5">
      <c r="A5" s="2" t="s">
        <v>3</v>
      </c>
      <c r="B5" s="8" t="s">
        <v>5</v>
      </c>
      <c r="C5" s="7">
        <v>82435.35</v>
      </c>
      <c r="D5" s="7">
        <v>47244.0</v>
      </c>
      <c r="E5" s="7">
        <v>11020.8</v>
      </c>
    </row>
    <row r="6">
      <c r="A6" s="2" t="s">
        <v>3</v>
      </c>
      <c r="B6" s="8" t="s">
        <v>6</v>
      </c>
      <c r="C6" s="7">
        <v>16887.0</v>
      </c>
      <c r="D6" s="7">
        <v>31043.0</v>
      </c>
      <c r="E6" s="7">
        <v>12666.0</v>
      </c>
    </row>
    <row r="7">
      <c r="A7" s="2" t="s">
        <v>3</v>
      </c>
      <c r="B7" s="8" t="s">
        <v>7</v>
      </c>
      <c r="C7" s="7">
        <v>31233.58</v>
      </c>
      <c r="D7" s="7">
        <v>9100.0</v>
      </c>
      <c r="E7" s="7">
        <v>4630.0</v>
      </c>
    </row>
    <row r="8">
      <c r="A8" s="2" t="s">
        <v>3</v>
      </c>
      <c r="B8" s="6" t="s">
        <v>8</v>
      </c>
      <c r="C8" s="7">
        <v>15162.6</v>
      </c>
      <c r="D8" s="7">
        <v>6055.6</v>
      </c>
      <c r="E8" s="7">
        <v>0.0</v>
      </c>
    </row>
    <row r="9">
      <c r="A9" s="2" t="s">
        <v>3</v>
      </c>
      <c r="B9" s="9" t="s">
        <v>9</v>
      </c>
      <c r="C9" s="7">
        <v>32015.89</v>
      </c>
      <c r="D9" s="7">
        <v>10366.53</v>
      </c>
      <c r="E9" s="7">
        <v>2646.22</v>
      </c>
    </row>
    <row r="10">
      <c r="A10" s="2" t="s">
        <v>10</v>
      </c>
      <c r="B10" s="8"/>
      <c r="C10" s="7">
        <v>27790.0</v>
      </c>
      <c r="D10" s="7">
        <v>7100.0</v>
      </c>
      <c r="E10" s="7">
        <v>15010.0</v>
      </c>
    </row>
    <row r="11">
      <c r="A11" s="2" t="s">
        <v>11</v>
      </c>
      <c r="B11" s="8"/>
      <c r="C11" s="7">
        <v>69935.0</v>
      </c>
      <c r="D11" s="7">
        <v>58045.0</v>
      </c>
      <c r="E11" s="7">
        <v>72820.47</v>
      </c>
    </row>
    <row r="12">
      <c r="A12" s="2" t="s">
        <v>12</v>
      </c>
      <c r="B12" s="8"/>
      <c r="C12" s="7">
        <v>642.0</v>
      </c>
      <c r="D12" s="7">
        <v>1716.93</v>
      </c>
      <c r="E12" s="7">
        <v>1624.3</v>
      </c>
    </row>
    <row r="13">
      <c r="A13" s="2" t="s">
        <v>13</v>
      </c>
      <c r="B13" s="8"/>
      <c r="C13" s="7">
        <f t="shared" ref="C13:E13" si="1">SUM(C4:C12)</f>
        <v>297545.42</v>
      </c>
      <c r="D13" s="7">
        <f t="shared" si="1"/>
        <v>180572.1</v>
      </c>
      <c r="E13" s="7">
        <f t="shared" si="1"/>
        <v>120417.79</v>
      </c>
    </row>
    <row r="14">
      <c r="A14" s="2"/>
      <c r="B14" s="2"/>
      <c r="C14" s="2"/>
      <c r="D14" s="2"/>
      <c r="E14" s="2"/>
    </row>
    <row r="15">
      <c r="A15" s="2"/>
      <c r="B15" s="2"/>
      <c r="C15" s="2"/>
      <c r="D15" s="2"/>
      <c r="E15" s="2"/>
    </row>
    <row r="16">
      <c r="A16" s="1" t="s">
        <v>14</v>
      </c>
      <c r="B16" s="2"/>
      <c r="C16" s="2"/>
      <c r="D16" s="2"/>
      <c r="E16" s="2"/>
    </row>
    <row r="17">
      <c r="A17" s="2"/>
      <c r="B17" s="10" t="s">
        <v>15</v>
      </c>
      <c r="C17" s="11">
        <v>2025.0</v>
      </c>
      <c r="D17" s="11">
        <v>2024.0</v>
      </c>
      <c r="E17" s="11">
        <v>2023.0</v>
      </c>
    </row>
    <row r="18">
      <c r="A18" s="2"/>
      <c r="B18" s="1" t="s">
        <v>16</v>
      </c>
      <c r="C18" s="12">
        <v>134033.78</v>
      </c>
      <c r="D18" s="12">
        <v>129328.22</v>
      </c>
      <c r="E18" s="12">
        <v>59795.0</v>
      </c>
    </row>
    <row r="19">
      <c r="A19" s="2"/>
      <c r="B19" s="1" t="s">
        <v>17</v>
      </c>
      <c r="C19" s="12">
        <v>27790.0</v>
      </c>
      <c r="D19" s="12">
        <v>7100.0</v>
      </c>
      <c r="E19" s="12">
        <v>15010.0</v>
      </c>
    </row>
    <row r="20">
      <c r="A20" s="2"/>
      <c r="B20" s="1" t="s">
        <v>18</v>
      </c>
      <c r="C20" s="12">
        <v>62726.12</v>
      </c>
      <c r="D20" s="12">
        <v>24349.75</v>
      </c>
      <c r="E20" s="12">
        <v>36510.83</v>
      </c>
    </row>
    <row r="21">
      <c r="A21" s="2"/>
      <c r="B21" s="2" t="s">
        <v>19</v>
      </c>
      <c r="C21" s="12">
        <v>65113.75</v>
      </c>
      <c r="D21" s="12">
        <v>14739.76</v>
      </c>
      <c r="E21" s="12">
        <v>2516.81</v>
      </c>
    </row>
    <row r="22">
      <c r="A22" s="2"/>
      <c r="B22" s="2" t="s">
        <v>20</v>
      </c>
      <c r="C22" s="12">
        <v>228.24</v>
      </c>
      <c r="D22" s="12">
        <v>3423.69</v>
      </c>
      <c r="E22" s="12">
        <v>1624.3</v>
      </c>
    </row>
    <row r="23">
      <c r="A23" s="2"/>
      <c r="B23" s="2" t="s">
        <v>21</v>
      </c>
      <c r="C23" s="12">
        <v>142.09</v>
      </c>
      <c r="D23" s="12">
        <v>374.45</v>
      </c>
      <c r="E23" s="12">
        <v>2.16</v>
      </c>
    </row>
    <row r="24">
      <c r="A24" s="2"/>
      <c r="B24" s="2" t="s">
        <v>13</v>
      </c>
      <c r="C24" s="12">
        <v>290033.98000000004</v>
      </c>
      <c r="D24" s="12">
        <v>179315.87000000002</v>
      </c>
      <c r="E24" s="12">
        <v>115459.1</v>
      </c>
    </row>
    <row r="25">
      <c r="A25" s="2"/>
      <c r="B25" s="2"/>
      <c r="C25" s="2"/>
      <c r="D25" s="2"/>
      <c r="E25" s="2"/>
    </row>
    <row r="26">
      <c r="A26" s="2"/>
      <c r="B26" s="2"/>
      <c r="C26" s="2"/>
      <c r="D26" s="2"/>
      <c r="E26" s="2"/>
    </row>
    <row r="27">
      <c r="A27" s="1" t="s">
        <v>22</v>
      </c>
      <c r="B27" s="2"/>
      <c r="C27" s="2"/>
      <c r="D27" s="2"/>
      <c r="E27" s="2"/>
    </row>
    <row r="28">
      <c r="A28" s="2"/>
      <c r="B28" s="2"/>
      <c r="C28" s="11">
        <v>2025.0</v>
      </c>
      <c r="D28" s="11">
        <v>2024.0</v>
      </c>
      <c r="E28" s="11">
        <v>2023.0</v>
      </c>
    </row>
    <row r="29">
      <c r="A29" s="2"/>
      <c r="B29" s="1" t="s">
        <v>23</v>
      </c>
      <c r="C29" s="13">
        <f t="shared" ref="C29:E29" si="2">C13-C24</f>
        <v>7511.44</v>
      </c>
      <c r="D29" s="13">
        <f t="shared" si="2"/>
        <v>1256.23</v>
      </c>
      <c r="E29" s="13">
        <f t="shared" si="2"/>
        <v>4958.69</v>
      </c>
    </row>
    <row r="30">
      <c r="A30" s="2"/>
      <c r="B30" s="2"/>
      <c r="C30" s="2"/>
      <c r="D30" s="2"/>
      <c r="E30" s="2"/>
    </row>
  </sheetData>
  <drawing r:id="rId1"/>
</worksheet>
</file>